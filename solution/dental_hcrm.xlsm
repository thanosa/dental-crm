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041E899D-972F-4BA8-ABCC-C2F7E17084F1}" xr6:coauthVersionLast="45" xr6:coauthVersionMax="45" xr10:uidLastSave="{00000000-0000-0000-0000-000000000000}"/>
  <bookViews>
    <workbookView xWindow="11280" yWindow="2010" windowWidth="33705" windowHeight="17490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Appointments!$A$7:$O$11</definedName>
    <definedName name="_xlnm._FilterDatabase" localSheetId="0" hidden="1">Patients!$A$6:$L$9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216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2" l="1"/>
  <c r="F11" i="2"/>
  <c r="E11" i="2"/>
  <c r="C11" i="2"/>
  <c r="B11" i="2"/>
  <c r="M10" i="2"/>
  <c r="F10" i="2"/>
  <c r="E10" i="2"/>
  <c r="C10" i="2"/>
  <c r="B10" i="2"/>
  <c r="M9" i="2"/>
  <c r="F9" i="2"/>
  <c r="E9" i="2"/>
  <c r="C9" i="2"/>
  <c r="B9" i="2"/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<sst xmlns="http://schemas.openxmlformats.org/spreadsheetml/2006/main" count="68" uniqueCount="44">
  <si>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</si>
  <si>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</si>
  <si>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</si>
  <si>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</si>
  <si>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</si>
  <si>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</si>
  <si>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</si>
  <si>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</si>
  <si>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</si>
  <si>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</si>
  <si>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</si>
  <si>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</si>
  <si>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</si>
  <si>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</si>
  <si>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</si>
  <si>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</si>
  <si>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</si>
  <si>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</si>
  <si>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</si>
  <si>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</si>
  <si>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</si>
  <si>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</si>
  <si>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</si>
  <si>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</si>
  <si>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</si>
  <si>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</si>
  <si>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</si>
  <si>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</si>
  <si>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</si>
  <si>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</si>
  <si>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</si>
  <si>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</si>
  <si>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</si>
  <si>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</si>
  <si>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</si>
  <si>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</si>
  <si>
    <t>Δαφνη</t>
  </si>
  <si>
    <t>Θάνος</t>
  </si>
  <si>
    <t>male</t>
  </si>
  <si>
    <t>female</t>
  </si>
  <si>
    <t>Άκης</t>
  </si>
  <si>
    <t>1 Δαφνη</t>
  </si>
  <si>
    <t>comp 1</t>
  </si>
  <si>
    <t>gingivitis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</si>
</sst>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1216025</xdr:colOff>
          <xdr:row>0</xdr:row>
          <xdr:rowOff>304799</xdr:rowOff>
        </xdr:from>
        <xdr:to>
          <xdr:col>5</xdr:col>
          <xdr:colOff>1122362</xdr:colOff>
          <xdr:row>2</xdr:row>
          <xdr:rowOff>9524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285750</xdr:colOff>
      <xdr:row>1</xdr:row>
      <xdr:rowOff>76200</xdr:rowOff>
    </xdr:from>
    <xdr:to>
      <xdr:col>4</xdr:col>
      <xdr:colOff>600075</xdr:colOff>
      <xdr:row>1</xdr:row>
      <xdr:rowOff>390525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9100"/>
          <a:ext cx="314325" cy="314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925513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3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2.886972685184" createdVersion="6" refreshedVersion="6" minRefreshableVersion="3" recordCount="4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3"/>
    </cacheField>
    <cacheField name="Name" numFmtId="0">
      <sharedItems count="260">
        <s v="1 Δαφνη"/>
        <s v="2 Θάνος"/>
        <s v="3 Άκης"/>
        <s v="" u="1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11-28T00:00:00" count="2">
        <d v="2020-01-01T00:00:00"/>
        <d v="2020-11-27T00:00:00"/>
      </sharedItems>
      <fieldGroup par="15" base="3">
        <rangePr groupBy="months" startDate="2020-01-01T00:00:00" endDate="2020-11-28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-1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11"/>
        <n v="2" u="1"/>
        <n v="6" u="1"/>
        <n v="7" u="1"/>
        <n v="3" u="1"/>
        <n v="8" u="1"/>
        <n v="9" u="1"/>
        <n v="12" u="1"/>
      </sharedItems>
    </cacheField>
    <cacheField name="Complaint" numFmtId="0">
      <sharedItems containsBlank="1"/>
    </cacheField>
    <cacheField name="Treatment plan" numFmtId="0">
      <sharedItems containsNonDate="0" containsString="0" containsBlank="1"/>
    </cacheField>
    <cacheField name="Done" numFmtId="0">
      <sharedItems containsBlank="1" containsMixedTypes="1" containsNumber="1" containsInteger="1" minValue="1" maxValue="2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tring="0" containsBlank="1" containsNumber="1" containsInteger="1" minValue="0" maxValue="0"/>
    </cacheField>
    <cacheField name="Quarters" numFmtId="0" databaseField="0">
      <fieldGroup base="3">
        <rangePr groupBy="quarters" startDate="2020-01-01T00:00:00" endDate="2020-11-28T00:00:00"/>
        <groupItems count="6">
          <s v="&lt;01-01-20"/>
          <s v="Qtr1"/>
          <s v="Qtr2"/>
          <s v="Qtr3"/>
          <s v="Qtr4"/>
          <s v="&gt;28-11-20"/>
        </groupItems>
      </fieldGroup>
    </cacheField>
    <cacheField name="Years" numFmtId="0" databaseField="0">
      <fieldGroup base="3">
        <rangePr groupBy="years" startDate="2020-01-01T00:00:00" endDate="2020-11-28T00:00:00"/>
        <groupItems count="3">
          <s v="&lt;01-01-20"/>
          <s v="2020"/>
          <s v="&gt;28-1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x v="0"/>
    <s v="Practice 1"/>
    <x v="0"/>
    <x v="0"/>
    <x v="0"/>
    <m/>
    <m/>
    <m/>
    <m/>
    <m/>
    <m/>
    <n v="0"/>
    <n v="0"/>
  </r>
  <r>
    <n v="2"/>
    <x v="1"/>
    <s v="Practice 1"/>
    <x v="1"/>
    <x v="0"/>
    <x v="1"/>
    <s v="comp 1"/>
    <m/>
    <n v="1"/>
    <m/>
    <m/>
    <m/>
    <n v="0"/>
    <m/>
  </r>
  <r>
    <n v="2"/>
    <x v="1"/>
    <s v="Practice 1"/>
    <x v="1"/>
    <x v="0"/>
    <x v="1"/>
    <m/>
    <m/>
    <n v="2"/>
    <m/>
    <m/>
    <m/>
    <n v="0"/>
    <m/>
  </r>
  <r>
    <n v="3"/>
    <x v="2"/>
    <s v="Practice 2"/>
    <x v="1"/>
    <x v="0"/>
    <x v="1"/>
    <m/>
    <m/>
    <s v="gingivitis"/>
    <m/>
    <m/>
    <m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216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2"/>
        <item m="1" x="5"/>
        <item m="1" x="3"/>
        <item m="1" x="4"/>
        <item m="1" x="6"/>
        <item m="1" x="7"/>
        <item x="1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4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grandRow="1" outline="0" collapsedLevelsAreSubtotals="1" fieldPosition="0"/>
    </format>
    <format dxfId="15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78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216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6"/>
        <item m="1" x="230"/>
        <item m="1" x="72"/>
        <item m="1" x="111"/>
        <item m="1" x="213"/>
        <item m="1" x="156"/>
        <item m="1" x="43"/>
        <item m="1" x="255"/>
        <item m="1" x="115"/>
        <item m="1" x="173"/>
        <item m="1" x="89"/>
        <item m="1" x="256"/>
        <item m="1" x="64"/>
        <item m="1" x="103"/>
        <item m="1" x="129"/>
        <item m="1" x="61"/>
        <item m="1" x="203"/>
        <item m="1" x="245"/>
        <item m="1" x="147"/>
        <item m="1" x="99"/>
        <item m="1" x="172"/>
        <item m="1" x="79"/>
        <item m="1" x="155"/>
        <item m="1" x="4"/>
        <item m="1" x="211"/>
        <item m="1" x="133"/>
        <item m="1" x="82"/>
        <item m="1" x="134"/>
        <item m="1" x="27"/>
        <item m="1" x="36"/>
        <item m="1" x="225"/>
        <item m="1" x="85"/>
        <item m="1" x="170"/>
        <item m="1" x="86"/>
        <item m="1" x="78"/>
        <item m="1" x="208"/>
        <item m="1" x="55"/>
        <item m="1" x="88"/>
        <item m="1" x="8"/>
        <item m="1" x="239"/>
        <item m="1" x="139"/>
        <item m="1" x="9"/>
        <item m="1" x="116"/>
        <item m="1" x="104"/>
        <item m="1" x="195"/>
        <item m="1" x="248"/>
        <item m="1" x="13"/>
        <item m="1" x="186"/>
        <item m="1" x="90"/>
        <item m="1" x="101"/>
        <item m="1" x="160"/>
        <item m="1" x="62"/>
        <item m="1" x="38"/>
        <item m="1" x="143"/>
        <item m="1" x="154"/>
        <item m="1" x="207"/>
        <item m="1" x="127"/>
        <item m="1" x="76"/>
        <item m="1" x="45"/>
        <item m="1" x="138"/>
        <item m="1" x="18"/>
        <item m="1" x="34"/>
        <item m="1" x="212"/>
        <item m="1" x="169"/>
        <item m="1" x="202"/>
        <item m="1" x="193"/>
        <item m="1" x="194"/>
        <item m="1" x="108"/>
        <item m="1" x="148"/>
        <item m="1" x="12"/>
        <item m="1" x="179"/>
        <item m="1" x="199"/>
        <item m="1" x="31"/>
        <item m="1" x="229"/>
        <item m="1" x="254"/>
        <item m="1" x="217"/>
        <item m="1" x="98"/>
        <item m="1" x="70"/>
        <item m="1" x="196"/>
        <item m="1" x="178"/>
        <item m="1" x="102"/>
        <item m="1" x="184"/>
        <item m="1" x="219"/>
        <item m="1" x="167"/>
        <item m="1" x="140"/>
        <item m="1" x="247"/>
        <item m="1" x="50"/>
        <item m="1" x="218"/>
        <item m="1" x="122"/>
        <item m="1" x="60"/>
        <item m="1" x="159"/>
        <item m="1" x="40"/>
        <item m="1" x="215"/>
        <item m="1" x="71"/>
        <item m="1" x="120"/>
        <item m="1" x="128"/>
        <item m="1" x="168"/>
        <item m="1" x="16"/>
        <item m="1" x="107"/>
        <item m="1" x="176"/>
        <item m="1" x="41"/>
        <item m="1" x="206"/>
        <item m="1" x="224"/>
        <item m="1" x="161"/>
        <item m="1" x="66"/>
        <item m="1" x="97"/>
        <item m="1" x="100"/>
        <item m="1" x="22"/>
        <item m="1" x="250"/>
        <item m="1" x="226"/>
        <item m="1" x="145"/>
        <item m="1" x="204"/>
        <item m="1" x="201"/>
        <item m="1" x="10"/>
        <item m="1" x="17"/>
        <item m="1" x="234"/>
        <item m="1" x="19"/>
        <item m="1" x="74"/>
        <item m="1" x="183"/>
        <item m="1" x="7"/>
        <item m="1" x="35"/>
        <item m="1" x="113"/>
        <item m="1" x="112"/>
        <item m="1" x="53"/>
        <item m="1" x="232"/>
        <item m="1" x="153"/>
        <item m="1" x="33"/>
        <item m="1" x="124"/>
        <item m="1" x="164"/>
        <item m="1" x="23"/>
        <item m="1" x="51"/>
        <item m="1" x="180"/>
        <item m="1" x="87"/>
        <item m="1" x="187"/>
        <item m="1" x="83"/>
        <item m="1" x="15"/>
        <item m="1" x="231"/>
        <item m="1" x="238"/>
        <item m="1" x="39"/>
        <item m="1" x="125"/>
        <item m="1" x="14"/>
        <item m="1" x="49"/>
        <item m="1" x="126"/>
        <item m="1" x="26"/>
        <item m="1" x="5"/>
        <item m="1" x="242"/>
        <item m="1" x="165"/>
        <item m="1" x="190"/>
        <item m="1" x="47"/>
        <item m="1" x="6"/>
        <item m="1" x="185"/>
        <item m="1" x="141"/>
        <item m="1" x="214"/>
        <item m="1" x="68"/>
        <item m="1" x="132"/>
        <item m="1" x="56"/>
        <item m="1" x="65"/>
        <item m="1" x="150"/>
        <item m="1" x="259"/>
        <item m="1" x="69"/>
        <item m="1" x="144"/>
        <item m="1" x="222"/>
        <item m="1" x="136"/>
        <item m="1" x="75"/>
        <item m="1" x="146"/>
        <item m="1" x="96"/>
        <item m="1" x="191"/>
        <item m="1" x="210"/>
        <item m="1" x="171"/>
        <item m="1" x="24"/>
        <item m="1" x="21"/>
        <item m="1" x="163"/>
        <item m="1" x="246"/>
        <item m="1" x="235"/>
        <item m="1" x="175"/>
        <item m="1" x="42"/>
        <item m="1" x="30"/>
        <item m="1" x="227"/>
        <item m="1" x="152"/>
        <item m="1" x="63"/>
        <item m="1" x="240"/>
        <item m="1" x="77"/>
        <item m="1" x="243"/>
        <item m="1" x="236"/>
        <item m="1" x="233"/>
        <item m="1" x="93"/>
        <item m="1" x="174"/>
        <item m="1" x="182"/>
        <item m="1" x="181"/>
        <item m="1" x="117"/>
        <item m="1" x="67"/>
        <item m="1" x="189"/>
        <item m="1" x="92"/>
        <item m="1" x="109"/>
        <item m="1" x="162"/>
        <item m="1" x="209"/>
        <item m="1" x="253"/>
        <item m="1" x="237"/>
        <item m="1" x="105"/>
        <item m="1" x="252"/>
        <item m="1" x="52"/>
        <item m="1" x="177"/>
        <item m="1" x="257"/>
        <item m="1" x="158"/>
        <item m="1" x="28"/>
        <item m="1" x="58"/>
        <item m="1" x="188"/>
        <item m="1" x="80"/>
        <item m="1" x="251"/>
        <item m="1" x="121"/>
        <item m="1" x="192"/>
        <item m="1" x="130"/>
        <item m="1" x="84"/>
        <item m="1" x="258"/>
        <item m="1" x="200"/>
        <item m="1" x="119"/>
        <item m="1" x="131"/>
        <item m="1" x="223"/>
        <item m="1" x="32"/>
        <item m="1" x="151"/>
        <item m="1" x="110"/>
        <item m="1" x="149"/>
        <item m="1" x="142"/>
        <item m="1" x="73"/>
        <item m="1" x="46"/>
        <item m="1" x="137"/>
        <item m="1" x="198"/>
        <item m="1" x="118"/>
        <item m="1" x="48"/>
        <item m="1" x="91"/>
        <item m="1" x="54"/>
        <item m="1" x="221"/>
        <item m="1" x="216"/>
        <item m="1" x="11"/>
        <item m="1" x="81"/>
        <item m="1" x="57"/>
        <item m="1" x="197"/>
        <item m="1" x="59"/>
        <item m="1" x="29"/>
        <item m="1" x="220"/>
        <item m="1" x="123"/>
        <item m="1" x="20"/>
        <item m="1" x="241"/>
        <item m="1" x="37"/>
        <item m="1" x="95"/>
        <item m="1" x="44"/>
        <item m="1" x="244"/>
        <item m="1" x="106"/>
        <item m="1" x="249"/>
        <item m="1" x="94"/>
        <item m="1" x="114"/>
        <item m="1" x="228"/>
        <item m="1" x="3"/>
        <item m="1" x="157"/>
        <item m="1" x="135"/>
        <item m="1" x="25"/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80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L9"/>
  <sheetViews>
    <sheetView showGridLines="0" tabSelected="1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C20" sqref="C20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 t="s">
        <v>34</v>
      </c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 t="s">
        <v>36</v>
      </c>
      <c r="C7" s="18"/>
      <c r="D7" s="18" t="s">
        <v>34</v>
      </c>
      <c r="E7" s="19" t="s">
        <v>38</v>
      </c>
      <c r="F7" s="20"/>
      <c r="G7" s="18"/>
      <c r="H7" s="18"/>
      <c r="I7" s="21"/>
      <c r="J7" s="22"/>
      <c r="K7" s="22"/>
      <c r="L7" s="22"/>
    </row>
    <row r="8" spans="1:12" s="4" customFormat="1" ht="84.75" customHeight="1" x14ac:dyDescent="0.25">
      <c r="A8" s="16">
        <v>2</v>
      </c>
      <c r="B8" s="17" t="s">
        <v>37</v>
      </c>
      <c r="C8" s="18"/>
      <c r="D8" s="18" t="s">
        <v>34</v>
      </c>
      <c r="E8" s="19" t="s">
        <v>39</v>
      </c>
      <c r="F8" s="20"/>
      <c r="G8" s="18"/>
      <c r="H8" s="18"/>
      <c r="I8" s="21"/>
      <c r="J8" s="22"/>
      <c r="K8" s="22"/>
      <c r="L8" s="22"/>
    </row>
    <row r="9" spans="1:12" s="4" customFormat="1" ht="84.75" hidden="1" customHeight="1" x14ac:dyDescent="0.25">
      <c r="A9" s="16">
        <v>3</v>
      </c>
      <c r="B9" s="17" t="s">
        <v>40</v>
      </c>
      <c r="C9" s="18"/>
      <c r="D9" s="18" t="s">
        <v>35</v>
      </c>
      <c r="E9" s="19" t="s">
        <v>38</v>
      </c>
      <c r="F9" s="20"/>
      <c r="G9" s="18"/>
      <c r="H9" s="18"/>
      <c r="I9" s="21"/>
      <c r="J9" s="22"/>
      <c r="K9" s="22"/>
      <c r="L9" s="22"/>
    </row>
  </sheetData>
  <sheetProtection sheet="1" objects="1" scenarios="1" formatCells="0" formatColumns="0" formatRows="0" deleteRows="0" selectLockedCells="1" autoFilter="0"/>
  <autoFilter ref="A6:L9" xr:uid="{A3184801-953E-49F5-970F-B68944D57EFE}">
    <filterColumn colId="3">
      <filters>
        <filter val="Practice 1"/>
      </filters>
    </filterColumn>
  </autoFilter>
  <dataConsolidate/>
  <dataValidations count="3">
    <dataValidation type="list" allowBlank="1" showInputMessage="1" showErrorMessage="1" sqref="G2 D7:D9" xr:uid="{2332A717-E738-4DAC-BBAD-205C318A5579}">
      <formula1>TablesPractices</formula1>
    </dataValidation>
    <dataValidation type="list" allowBlank="1" showInputMessage="1" showErrorMessage="1" sqref="E7:E9" xr:uid="{00000000-0002-0000-0000-000000000000}">
      <formula1>"male,female"</formula1>
    </dataValidation>
    <dataValidation type="whole" allowBlank="1" showInputMessage="1" showErrorMessage="1" sqref="E7:F9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AddPatientButton">
          <controlPr defaultSize="0" autoLine="0" r:id="rId5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4" name="AddPatient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5" r:id="rId8" name="SearchButton">
          <controlPr defaultSize="0" autoLine="0" autoPict="0" r:id="rId9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8" name="Sear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O752"/>
  <sheetViews>
    <sheetView showGridLines="0" workbookViewId="0">
      <pane xSplit="4" ySplit="7" topLeftCell="E8" activePane="bottomRight" state="frozenSplit"/>
      <selection pane="topRight" activeCell="C1" sqref="C1"/>
      <selection pane="bottomLeft" activeCell="A2" sqref="A2"/>
      <selection pane="bottomRight" activeCell="A2" sqref="A2:D4"/>
    </sheetView>
  </sheetViews>
  <sheetFormatPr defaultRowHeight="15" x14ac:dyDescent="0.25"/>
  <cols>
    <col min="1" max="1" width="15.42578125" style="3" customWidth="1"/>
    <col min="2" max="2" width="14.7109375" style="3" hidden="1" customWidth="1"/>
    <col min="3" max="3" width="14.42578125" style="3" hidden="1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hidden="1" x14ac:dyDescent="0.25">
      <c r="A8" s="16">
        <v>1</v>
      </c>
      <c r="B8" s="18" t="str">
        <f ca="1">IF(ISBLANK(A8),"",IF(ISBLANK(VLOOKUP(A8,PatientsRecords,2,FALSE)),"",_xlfn.CONCAT(A8," ",VLOOKUP(A8,PatientsRecords,2,FALSE))))</f>
        <v>1 Δαφνη</v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s="4" customFormat="1" ht="21" hidden="1" x14ac:dyDescent="0.25">
      <c r="A9" s="16">
        <v>2</v>
      </c>
      <c r="B9" s="18" t="str">
        <f ca="1">IF(ISBLANK(A9),"",IF(ISBLANK(VLOOKUP(A9,PatientsRecords,2,FALSE)),"",_xlfn.CONCAT(A9," ",VLOOKUP(A9,PatientsRecords,2,FALSE))))</f>
        <v>2 Θάνος</v>
      </c>
      <c r="C9" s="18" t="str">
        <f ca="1">IF(ISBLANK(A9),"",IF(ISBLANK(VLOOKUP(A9,PatientsRecords,4,FALSE)),"",VLOOKUP(A9,PatientsRecords,4,FALSE)))</f>
        <v>Practice 1</v>
      </c>
      <c r="D9" s="23">
        <v>44162</v>
      </c>
      <c r="E9" s="20">
        <f>YEAR(D9)</f>
        <v>2020</v>
      </c>
      <c r="F9" s="20">
        <f>MONTH(D9)</f>
        <v>11</v>
      </c>
      <c r="G9" s="18" t="s">
        <v>42</v>
      </c>
      <c r="H9" s="18"/>
      <c r="I9" s="18">
        <v>1</v>
      </c>
      <c r="J9" s="18"/>
      <c r="K9" s="18"/>
      <c r="L9" s="18"/>
      <c r="M9" s="18">
        <f>O9-N9</f>
        <v>0</v>
      </c>
      <c r="N9" s="22"/>
      <c r="O9" s="22"/>
    </row>
    <row r="10" spans="1:15" s="4" customFormat="1" ht="21" hidden="1" x14ac:dyDescent="0.25">
      <c r="A10" s="16">
        <v>2</v>
      </c>
      <c r="B10" s="18" t="str">
        <f ca="1">IF(ISBLANK(A10),"",IF(ISBLANK(VLOOKUP(A10,PatientsRecords,2,FALSE)),"",_xlfn.CONCAT(A10," ",VLOOKUP(A10,PatientsRecords,2,FALSE))))</f>
        <v>2 Θάνος</v>
      </c>
      <c r="C10" s="18" t="str">
        <f ca="1">IF(ISBLANK(A10),"",IF(ISBLANK(VLOOKUP(A10,PatientsRecords,4,FALSE)),"",VLOOKUP(A10,PatientsRecords,4,FALSE)))</f>
        <v>Practice 1</v>
      </c>
      <c r="D10" s="23">
        <v>44162</v>
      </c>
      <c r="E10" s="20">
        <f>YEAR(D10)</f>
        <v>2020</v>
      </c>
      <c r="F10" s="20">
        <f>MONTH(D10)</f>
        <v>11</v>
      </c>
      <c r="G10" s="18"/>
      <c r="H10" s="18"/>
      <c r="I10" s="18">
        <v>2</v>
      </c>
      <c r="J10" s="18"/>
      <c r="K10" s="18"/>
      <c r="L10" s="18"/>
      <c r="M10" s="18">
        <f>O10-N10</f>
        <v>0</v>
      </c>
      <c r="N10" s="22"/>
      <c r="O10" s="22"/>
    </row>
    <row r="11" spans="1:15" s="4" customFormat="1" ht="21" x14ac:dyDescent="0.25">
      <c r="A11" s="16">
        <v>3</v>
      </c>
      <c r="B11" s="18" t="str">
        <f ca="1">IF(ISBLANK(A11),"",IF(ISBLANK(VLOOKUP(A11,PatientsRecords,2,FALSE)),"",_xlfn.CONCAT(A11," ",VLOOKUP(A11,PatientsRecords,2,FALSE))))</f>
        <v>3 Άκης</v>
      </c>
      <c r="C11" s="18" t="str">
        <f ca="1">IF(ISBLANK(A11),"",IF(ISBLANK(VLOOKUP(A11,PatientsRecords,4,FALSE)),"",VLOOKUP(A11,PatientsRecords,4,FALSE)))</f>
        <v>Practice 2</v>
      </c>
      <c r="D11" s="23">
        <v>44162</v>
      </c>
      <c r="E11" s="20">
        <f>YEAR(D11)</f>
        <v>2020</v>
      </c>
      <c r="F11" s="20">
        <f>MONTH(D11)</f>
        <v>11</v>
      </c>
      <c r="G11" s="18"/>
      <c r="H11" s="18"/>
      <c r="I11" s="18" t="s">
        <v>43</v>
      </c>
      <c r="J11" s="18"/>
      <c r="K11" s="18"/>
      <c r="L11" s="18"/>
      <c r="M11" s="18">
        <f>O11-N11</f>
        <v>0</v>
      </c>
      <c r="N11" s="22"/>
      <c r="O11" s="22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  <row r="750" spans="1:15" x14ac:dyDescent="0.25">
      <c r="A750" s="5"/>
      <c r="B750" s="5"/>
      <c r="C750" s="5"/>
      <c r="D750" s="11"/>
      <c r="E750" s="11"/>
      <c r="F750" s="11"/>
      <c r="G750" s="6"/>
      <c r="H750" s="6"/>
      <c r="I750" s="6"/>
      <c r="J750" s="6"/>
      <c r="K750" s="6"/>
      <c r="L750" s="6"/>
      <c r="M750" s="6"/>
      <c r="N750" s="4"/>
      <c r="O750" s="4"/>
    </row>
    <row r="751" spans="1:15" x14ac:dyDescent="0.25">
      <c r="A751" s="5"/>
      <c r="B751" s="5"/>
      <c r="C751" s="5"/>
      <c r="D751" s="11"/>
      <c r="E751" s="11"/>
      <c r="F751" s="11"/>
      <c r="G751" s="6"/>
      <c r="H751" s="6"/>
      <c r="I751" s="6"/>
      <c r="J751" s="6"/>
      <c r="K751" s="6"/>
      <c r="L751" s="6"/>
      <c r="M751" s="6"/>
      <c r="N751" s="4"/>
      <c r="O751" s="4"/>
    </row>
    <row r="752" spans="1:15" x14ac:dyDescent="0.25">
      <c r="A752" s="5"/>
      <c r="B752" s="5"/>
      <c r="C752" s="5"/>
      <c r="D752" s="11"/>
      <c r="E752" s="11"/>
      <c r="F752" s="11"/>
      <c r="G752" s="6"/>
      <c r="H752" s="6"/>
      <c r="I752" s="6"/>
      <c r="J752" s="6"/>
      <c r="K752" s="6"/>
      <c r="L752" s="6"/>
      <c r="M752" s="6"/>
      <c r="N752" s="4"/>
      <c r="O752" s="4"/>
    </row>
  </sheetData>
  <sheetProtection sheet="1" objects="1" scenarios="1" formatCells="0" formatColumns="0" formatRows="0" deleteRows="0" selectLockedCells="1" autoFilter="0" pivotTables="0"/>
  <autoFilter ref="A7:O11" xr:uid="{C23D5148-25DC-4AD9-AE61-1FCC37AD8EE7}">
    <filterColumn colId="2">
      <filters>
        <filter val="Practice 2"/>
      </filters>
    </filterColumn>
  </autoFilter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28" priority="1" operator="greaterThan">
      <formula>0</formula>
    </cfRule>
    <cfRule type="cellIs" dxfId="27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D8:D752 E12:F752" xr:uid="{00000000-0002-0000-0100-000000000000}">
      <formula1>43101</formula1>
      <formula2>73415</formula2>
    </dataValidation>
    <dataValidation type="decimal" allowBlank="1" showInputMessage="1" showErrorMessage="1" sqref="N8:O752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51" r:id="rId4" name="AddAppointmentButton">
          <controlPr defaultSize="0" autoLine="0" r:id="rId5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4" name="AddAppointment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49" r:id="rId8" name="SearchButton">
          <controlPr defaultSize="0" autoLine="0" r:id="rId9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3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8" name="Search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5" r:id="rId4" name="Edit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4" name="EditTimelineButton"/>
      </mc:Fallback>
    </mc:AlternateContent>
    <mc:AlternateContent xmlns:mc="http://schemas.openxmlformats.org/markup-compatibility/2006">
      <mc:Choice Requires="x14">
        <control shapeId="3076" r:id="rId6" name="Lock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6" name="Lock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 t="s">
        <v>41</v>
      </c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097" r:id="rId5" name="SortByPatientIdButton">
          <controlPr defaultSize="0" autoLine="0" r:id="rId6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5" name="SortByPatientIdButton"/>
      </mc:Fallback>
    </mc:AlternateContent>
    <mc:AlternateContent xmlns:mc="http://schemas.openxmlformats.org/markup-compatibility/2006">
      <mc:Choice Requires="x14">
        <control shapeId="4098" r:id="rId7" name="SortByAppointmentsButton">
          <controlPr defaultSize="0" autoLine="0" r:id="rId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7" name="SortByAppointmentsButton"/>
      </mc:Fallback>
    </mc:AlternateContent>
    <mc:AlternateContent xmlns:mc="http://schemas.openxmlformats.org/markup-compatibility/2006">
      <mc:Choice Requires="x14">
        <control shapeId="4099" r:id="rId9" name="SortByBalancePositiveButton">
          <controlPr defaultSize="0" autoLine="0" r:id="rId10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9" name="SortByBalancePositiveButton"/>
      </mc:Fallback>
    </mc:AlternateContent>
    <mc:AlternateContent xmlns:mc="http://schemas.openxmlformats.org/markup-compatibility/2006">
      <mc:Choice Requires="x14">
        <control shapeId="4100" r:id="rId11" name="SortByCostButton">
          <controlPr defaultSize="0" autoLine="0" r:id="rId12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1" name="SortByCostButton"/>
      </mc:Fallback>
    </mc:AlternateContent>
    <mc:AlternateContent xmlns:mc="http://schemas.openxmlformats.org/markup-compatibility/2006">
      <mc:Choice Requires="x14">
        <control shapeId="4101" r:id="rId13" name="SortByReceiptButton">
          <controlPr defaultSize="0" autoLine="0" r:id="rId14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3" name="SortByReceiptButton"/>
      </mc:Fallback>
    </mc:AlternateContent>
    <mc:AlternateContent xmlns:mc="http://schemas.openxmlformats.org/markup-compatibility/2006">
      <mc:Choice Requires="x14">
        <control shapeId="4102" r:id="rId15" name="EditTimelineButton">
          <controlPr defaultSize="0" autoLine="0" r:id="rId16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15" name="EditTimelineButton"/>
      </mc:Fallback>
    </mc:AlternateContent>
    <mc:AlternateContent xmlns:mc="http://schemas.openxmlformats.org/markup-compatibility/2006">
      <mc:Choice Requires="x14">
        <control shapeId="4103" r:id="rId17" name="LockTimelineButton">
          <controlPr defaultSize="0" autoLine="0" r:id="rId1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17" name="LockTimelineButton"/>
      </mc:Fallback>
    </mc:AlternateContent>
    <mc:AlternateContent xmlns:mc="http://schemas.openxmlformats.org/markup-compatibility/2006">
      <mc:Choice Requires="x14">
        <control shapeId="4104" r:id="rId19" name="SortByBalanceNegativeButton">
          <controlPr defaultSize="0" autoLine="0" r:id="rId20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19" name="SortByBalanceNegative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B7" sqref="B7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2020-11-27T19:18:10Z</dcterms:modified>
</cp:coreProperties>
</file>